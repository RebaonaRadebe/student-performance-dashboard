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Reba\OneDrive - Tshwane University of Technology\Desktop\New folder\"/>
    </mc:Choice>
  </mc:AlternateContent>
  <bookViews>
    <workbookView xWindow="0" yWindow="0" windowWidth="20490" windowHeight="8940" activeTab="1"/>
  </bookViews>
  <sheets>
    <sheet name="Module pivot sheet" sheetId="7" r:id="rId1"/>
    <sheet name="Presentation Page" sheetId="9" r:id="rId2"/>
    <sheet name="Status pivot sheet" sheetId="8" r:id="rId3"/>
    <sheet name="Student_marks" sheetId="3" r:id="rId4"/>
    <sheet name="Modules" sheetId="2" r:id="rId5"/>
  </sheets>
  <definedNames>
    <definedName name="Slicer_Module">#N/A</definedName>
    <definedName name="Slicer_Status">#N/A</definedName>
  </definedNames>
  <calcPr calcId="162913"/>
  <pivotCaches>
    <pivotCache cacheId="13" r:id="rId6"/>
  </pivotCaches>
  <fileRecoveryPr repairLoad="1"/>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E5" i="9" l="1"/>
  <c r="C5" i="9"/>
  <c r="A5" i="9"/>
  <c r="I2" i="3"/>
  <c r="J2" i="3"/>
  <c r="K2" i="3"/>
  <c r="I3" i="3"/>
  <c r="J3" i="3"/>
  <c r="K3" i="3"/>
  <c r="I4" i="3"/>
  <c r="J4" i="3"/>
  <c r="K4" i="3"/>
  <c r="I5" i="3"/>
  <c r="J5" i="3"/>
  <c r="K5" i="3"/>
  <c r="I6" i="3"/>
  <c r="J6" i="3"/>
  <c r="K6" i="3"/>
  <c r="I7" i="3"/>
  <c r="J7" i="3"/>
  <c r="K7" i="3"/>
  <c r="I8" i="3"/>
  <c r="J8" i="3"/>
  <c r="K8" i="3"/>
  <c r="I9" i="3"/>
  <c r="J9" i="3"/>
  <c r="K9" i="3"/>
  <c r="I10" i="3"/>
  <c r="J10" i="3"/>
  <c r="K10" i="3"/>
  <c r="I11" i="3"/>
  <c r="J11" i="3"/>
  <c r="K11" i="3"/>
  <c r="I12" i="3"/>
  <c r="J12" i="3"/>
  <c r="K12" i="3"/>
  <c r="I13" i="3"/>
  <c r="J13" i="3"/>
  <c r="K13" i="3"/>
  <c r="I14" i="3"/>
  <c r="J14" i="3"/>
  <c r="K14" i="3"/>
  <c r="I15" i="3"/>
  <c r="J15" i="3"/>
  <c r="K15" i="3"/>
  <c r="I16" i="3"/>
  <c r="J16" i="3"/>
  <c r="K16" i="3"/>
  <c r="I17" i="3"/>
  <c r="J17" i="3"/>
  <c r="K17" i="3"/>
  <c r="I18" i="3"/>
  <c r="J18" i="3"/>
  <c r="K18" i="3"/>
  <c r="I19" i="3"/>
  <c r="J19" i="3"/>
  <c r="K19" i="3"/>
  <c r="I20" i="3"/>
  <c r="J20" i="3"/>
  <c r="K20" i="3"/>
  <c r="I21" i="3"/>
  <c r="J21" i="3"/>
  <c r="K21" i="3"/>
  <c r="I22" i="3"/>
  <c r="J22" i="3"/>
  <c r="K22" i="3"/>
  <c r="I23" i="3"/>
  <c r="J23" i="3"/>
  <c r="K23" i="3"/>
  <c r="I24" i="3"/>
  <c r="J24" i="3"/>
  <c r="K24" i="3"/>
  <c r="I25" i="3"/>
  <c r="J25" i="3"/>
  <c r="K25" i="3"/>
  <c r="I26" i="3"/>
  <c r="J26" i="3"/>
  <c r="K26" i="3"/>
  <c r="I27" i="3"/>
  <c r="J27" i="3"/>
  <c r="K27" i="3"/>
  <c r="I28" i="3"/>
  <c r="J28" i="3"/>
  <c r="K28" i="3"/>
  <c r="I29" i="3"/>
  <c r="J29" i="3"/>
  <c r="K29" i="3"/>
  <c r="I30" i="3"/>
  <c r="J30" i="3"/>
  <c r="K30" i="3"/>
  <c r="I31" i="3"/>
  <c r="J31" i="3"/>
  <c r="K31" i="3"/>
</calcChain>
</file>

<file path=xl/sharedStrings.xml><?xml version="1.0" encoding="utf-8"?>
<sst xmlns="http://schemas.openxmlformats.org/spreadsheetml/2006/main" count="166" uniqueCount="99">
  <si>
    <t>StudentID</t>
  </si>
  <si>
    <t>StudentName</t>
  </si>
  <si>
    <t>Module</t>
  </si>
  <si>
    <t>Gender</t>
  </si>
  <si>
    <t>Attendance</t>
  </si>
  <si>
    <t>TestMark</t>
  </si>
  <si>
    <t>AssignmentMark</t>
  </si>
  <si>
    <t>FinalMark</t>
  </si>
  <si>
    <t>S001</t>
  </si>
  <si>
    <t>Alice Nkosi</t>
  </si>
  <si>
    <t>Database Systems</t>
  </si>
  <si>
    <t>Female</t>
  </si>
  <si>
    <t>S002</t>
  </si>
  <si>
    <t>Brian Molefe</t>
  </si>
  <si>
    <t>Male</t>
  </si>
  <si>
    <t>S003</t>
  </si>
  <si>
    <t>Cindy Mokoena</t>
  </si>
  <si>
    <t>S004</t>
  </si>
  <si>
    <t>David Khumalo</t>
  </si>
  <si>
    <t>S005</t>
  </si>
  <si>
    <t>Eric Ndlovu</t>
  </si>
  <si>
    <t>S006</t>
  </si>
  <si>
    <t>Faith Dlamini</t>
  </si>
  <si>
    <t>S007</t>
  </si>
  <si>
    <t>Gift Maseko</t>
  </si>
  <si>
    <t>S008</t>
  </si>
  <si>
    <t>Hannah Sithole</t>
  </si>
  <si>
    <t>S009</t>
  </si>
  <si>
    <t>Ian Mabaso</t>
  </si>
  <si>
    <t>Internet Programming</t>
  </si>
  <si>
    <t>S010</t>
  </si>
  <si>
    <t>Jessica Mthembu</t>
  </si>
  <si>
    <t>S011</t>
  </si>
  <si>
    <t>Kabelo Radebe</t>
  </si>
  <si>
    <t>S012</t>
  </si>
  <si>
    <t>Lerato Ncube</t>
  </si>
  <si>
    <t>S013</t>
  </si>
  <si>
    <t>Michael Zulu</t>
  </si>
  <si>
    <t>S014</t>
  </si>
  <si>
    <t>Nomsa Mokoena</t>
  </si>
  <si>
    <t>S015</t>
  </si>
  <si>
    <t>Oscar Mthethwa</t>
  </si>
  <si>
    <t>S016</t>
  </si>
  <si>
    <t>Precious Ndlovu</t>
  </si>
  <si>
    <t>S017</t>
  </si>
  <si>
    <t>Quinton Mokoena</t>
  </si>
  <si>
    <t>Mobile Computing</t>
  </si>
  <si>
    <t>S018</t>
  </si>
  <si>
    <t>Rorisang Nkosi</t>
  </si>
  <si>
    <t>S019</t>
  </si>
  <si>
    <t>Sipho Dlamini</t>
  </si>
  <si>
    <t>S020</t>
  </si>
  <si>
    <t>Thandi Molefe</t>
  </si>
  <si>
    <t>S021</t>
  </si>
  <si>
    <t>Uyiso Khumalo</t>
  </si>
  <si>
    <t>S022</t>
  </si>
  <si>
    <t>Valerie Ncube</t>
  </si>
  <si>
    <t>S023</t>
  </si>
  <si>
    <t>Wandile Maseko</t>
  </si>
  <si>
    <t>S024</t>
  </si>
  <si>
    <t>Xolani Sithole</t>
  </si>
  <si>
    <t>S025</t>
  </si>
  <si>
    <t>Yolanda Zulu</t>
  </si>
  <si>
    <t>Data Analytics</t>
  </si>
  <si>
    <t>S026</t>
  </si>
  <si>
    <t>Zanele Dlamini</t>
  </si>
  <si>
    <t>S027</t>
  </si>
  <si>
    <t>Ayanda Khosa</t>
  </si>
  <si>
    <t>S028</t>
  </si>
  <si>
    <t>Bongani Nkomo</t>
  </si>
  <si>
    <t>S029</t>
  </si>
  <si>
    <t>Chuma Radebe</t>
  </si>
  <si>
    <t>S030</t>
  </si>
  <si>
    <t>Dineo Molefe</t>
  </si>
  <si>
    <t>Status</t>
  </si>
  <si>
    <t>Performance</t>
  </si>
  <si>
    <t>Lecturer</t>
  </si>
  <si>
    <t>Mr Naidoo</t>
  </si>
  <si>
    <t>Mrs Smith</t>
  </si>
  <si>
    <t>Mr Adams</t>
  </si>
  <si>
    <t>Ms Dlamini</t>
  </si>
  <si>
    <t>Grand Total</t>
  </si>
  <si>
    <t>Count of StudentID</t>
  </si>
  <si>
    <t>Avg Mark</t>
  </si>
  <si>
    <t>Fail</t>
  </si>
  <si>
    <t>Pass</t>
  </si>
  <si>
    <t>Total Students</t>
  </si>
  <si>
    <t>Pass Rate</t>
  </si>
  <si>
    <t>Key Insights</t>
  </si>
  <si>
    <t>Overall performance</t>
  </si>
  <si>
    <t>90% Pass Rate</t>
  </si>
  <si>
    <t>Students requiring support</t>
  </si>
  <si>
    <t>3 Students Failed</t>
  </si>
  <si>
    <t>Highest Performing Module</t>
  </si>
  <si>
    <t>Lowest Performing Module</t>
  </si>
  <si>
    <t>Internet Programming(74.365 avg mark)</t>
  </si>
  <si>
    <t>Database Systems(70.25 avg mark)</t>
  </si>
  <si>
    <t>Students passed</t>
  </si>
  <si>
    <t>Student Performance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</si>
</sst>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8"/>
      <color theme="1"/>
      <name val="Calibri"/>
      <family val="2"/>
      <scheme val="minor"/>
    </font>
    <font>
      <b/>
      <sz val="14"/>
      <color theme="1"/>
      <name val="Calibri"/>
      <family val="2"/>
      <scheme val="minor"/>
    </font>
    <font>
      <b/>
      <sz val="18"/>
      <color theme="1"/>
      <name val="Calibri Light"/>
      <family val="2"/>
      <scheme val="maj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23">
    <xf numFmtId="0" fontId="0" fillId="0" borderId="0" xfId="0"/>
    <xf numFmtId="0" fontId="18" fillId="0" borderId="0" xfId="0" applyFont="1"/>
    <xf numFmtId="0" fontId="13" fillId="34" borderId="11" xfId="0" applyFont="1" applyFill="1" applyBorder="1"/>
    <xf numFmtId="0" fontId="13" fillId="34" borderId="10" xfId="0" applyFont="1" applyFill="1" applyBorder="1"/>
    <xf numFmtId="0" fontId="13" fillId="34" borderId="12" xfId="0" applyFont="1" applyFill="1" applyBorder="1"/>
    <xf numFmtId="0" fontId="0" fillId="33" borderId="11" xfId="0" applyFont="1" applyFill="1" applyBorder="1"/>
    <xf numFmtId="0" fontId="0" fillId="33" borderId="10" xfId="0" applyFont="1" applyFill="1" applyBorder="1"/>
    <xf numFmtId="0" fontId="0" fillId="33" borderId="12" xfId="0" applyFont="1" applyFill="1" applyBorder="1"/>
    <xf numFmtId="0" fontId="0" fillId="0" borderId="11" xfId="0" applyFont="1" applyBorder="1"/>
    <xf numFmtId="0" fontId="0" fillId="0" borderId="10" xfId="0" applyFont="1" applyBorder="1"/>
    <xf numFmtId="0" fontId="0" fillId="0" borderId="12" xfId="0" applyFont="1"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0" fillId="0" borderId="0" xfId="0" applyAlignment="1">
      <alignment horizontal="center" wrapText="1"/>
    </xf>
    <xf numFmtId="0" fontId="0" fillId="0" borderId="0" xfId="0" applyAlignment="1"/>
    <xf numFmtId="0" fontId="20" fillId="0" borderId="0" xfId="0" applyFont="1" applyAlignment="1">
      <alignment horizontal="center" wrapText="1"/>
    </xf>
    <xf numFmtId="0" fontId="19" fillId="0" borderId="0" xfId="0" applyFont="1" applyAlignment="1">
      <alignment horizontal="center" wrapText="1"/>
    </xf>
    <xf numFmtId="9" fontId="19" fillId="0" borderId="0" xfId="42" applyFont="1" applyAlignment="1">
      <alignment horizontal="center" wrapText="1"/>
    </xf>
    <xf numFmtId="0" fontId="18" fillId="0" borderId="0" xfId="0" applyFont="1" applyAlignment="1">
      <alignment horizontal="center"/>
    </xf>
    <xf numFmtId="0" fontId="16" fillId="0" borderId="0" xfId="0" applyFont="1" applyAlignment="1">
      <alignment horizontal="center"/>
    </xf>
    <xf numFmtId="0" fontId="21" fillId="0" borderId="0" xfId="0" applyFont="1" applyAlignment="1">
      <alignment horizont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
    <dxf>
      <font>
        <b/>
        <i val="0"/>
        <strike val="0"/>
        <condense val="0"/>
        <extend val="0"/>
        <outline val="0"/>
        <shadow val="0"/>
        <u val="none"/>
        <vertAlign val="baseline"/>
        <sz val="12"/>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[Student_Performance_Analysis.xlsx]Module pivot sheet!PivotTable4</c:name>
    <c:fmtId val="0"/>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0" i="0" baseline="0">
                <a:effectLst/>
              </a:rPr>
              <a:t>Average Mark By Module</a:t>
            </a:r>
            <a:endParaRPr lang="en-US" sz="1200">
              <a:effectLst/>
            </a:endParaRPr>
          </a:p>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759060436473655"/>
          <c:y val="0.11157067445221031"/>
          <c:w val="0.69098359580052493"/>
          <c:h val="0.69924613589967921"/>
        </c:manualLayout>
      </c:layout>
      <c:bar3DChart>
        <c:barDir val="col"/>
        <c:grouping val="clustered"/>
        <c:varyColors val="0"/>
        <c:ser>
          <c:idx val="0"/>
          <c:order val="0"/>
          <c:tx>
            <c:strRef>
              <c:f>'Module pivot sheet'!$B$3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'Module pivot sheet'!$A$4:$A$8</c:f>
              <c:strCache>
                <c:ptCount val="4"/>
                <c:pt idx="0">
                  <c:v>Internet Programming</c:v>
                </c:pt>
                <c:pt idx="1">
                  <c:v>Mobile Computing</c:v>
                </c:pt>
                <c:pt idx="2">
                  <c:v>Data Analytics</c:v>
                </c:pt>
                <c:pt idx="3">
                  <c:v>Database Systems</c:v>
                </c:pt>
              </c:strCache>
            </c:strRef>
          </c:cat>
          <c:val>
            <c:numRef>
              <c:f>'Module pivot sheet'!$B$4:$B$8</c:f>
              <c:numCache>
                <c:formatCode>General</c:formatCode>
                <c:ptCount val="4"/>
                <c:pt idx="0">
                  <c:v>74.375</c:v>
                </c:pt>
                <c:pt idx="1">
                  <c:v>73.125</c:v>
                </c:pt>
                <c:pt idx="2">
                  <c:v>72.833333333333329</c:v>
                </c:pt>
                <c:pt idx="3">
                  <c:v>70.25</c:v>
                </c:pt>
              </c:numCache>
            </c:numRef>
          </c:val>
          <c:extLst>
            <c:ext xmlns:c16="http://schemas.microsoft.com/office/drawing/2014/chart" uri="{C3380CC4-5D6E-409C-BE32-E72D297353CC}">
              <c16:uniqueId val="{00000000-49CB-4B4C-8595-597CA2D210AE}"/>
            </c:ext>
          </c:extLst>
        </c:ser>
        <c:dLbls>
          <c:showLegendKey val="0"/>
          <c:showVal val="1"/>
          <c:showCatName val="0"/>
          <c:showSerName val="0"/>
          <c:showPercent val="0"/>
          <c:showBubbleSize val="0"/>
        </c:dLbls>
        <c:gapWidth val="150"/>
        <c:shape val="box"/>
        <c:axId val="360026904"/>
        <c:axId val="360027560"/>
        <c:axId val="0"/>
      </c:bar3DChart>
      <c:catAx>
        <c:axId val="360026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027560"/>
        <c:crosses val="autoZero"/>
        <c:auto val="1"/>
        <c:lblAlgn val="ctr"/>
        <c:lblOffset val="100"/>
        <c:noMultiLvlLbl val="0"/>
      </c:catAx>
      <c:valAx>
        <c:axId val="360027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0269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[Student_Performance_Analysis.xlsx]Module pivot sheet!PivotTable4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Mark By Module</a:t>
            </a:r>
          </a:p>
        </c:rich>
      </c:tx>
      <c:layout>
        <c:manualLayout>
          <c:xMode val="edge"/>
          <c:yMode val="edge"/>
          <c:x val="0.31434366529955082"/>
          <c:y val="3.15789473684210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30172294706355"/>
          <c:y val="9.3317309020582967E-2"/>
          <c:w val="0.69098359580052493"/>
          <c:h val="0.69924613589967921"/>
        </c:manualLayout>
      </c:layout>
      <c:bar3DChart>
        <c:barDir val="col"/>
        <c:grouping val="clustered"/>
        <c:varyColors val="0"/>
        <c:ser>
          <c:idx val="0"/>
          <c:order val="0"/>
          <c:tx>
            <c:strRef>
              <c:f>'Module pivot sheet'!$B$3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'Module pivot sheet'!$A$4:$A$8</c:f>
              <c:strCache>
                <c:ptCount val="4"/>
                <c:pt idx="0">
                  <c:v>Internet Programming</c:v>
                </c:pt>
                <c:pt idx="1">
                  <c:v>Mobile Computing</c:v>
                </c:pt>
                <c:pt idx="2">
                  <c:v>Data Analytics</c:v>
                </c:pt>
                <c:pt idx="3">
                  <c:v>Database Systems</c:v>
                </c:pt>
              </c:strCache>
            </c:strRef>
          </c:cat>
          <c:val>
            <c:numRef>
              <c:f>'Module pivot sheet'!$B$4:$B$8</c:f>
              <c:numCache>
                <c:formatCode>General</c:formatCode>
                <c:ptCount val="4"/>
                <c:pt idx="0">
                  <c:v>74.375</c:v>
                </c:pt>
                <c:pt idx="1">
                  <c:v>73.125</c:v>
                </c:pt>
                <c:pt idx="2">
                  <c:v>72.833333333333329</c:v>
                </c:pt>
                <c:pt idx="3">
                  <c:v>70.25</c:v>
                </c:pt>
              </c:numCache>
            </c:numRef>
          </c:val>
          <c:extLst>
            <c:ext xmlns:c16="http://schemas.microsoft.com/office/drawing/2014/chart" uri="{C3380CC4-5D6E-409C-BE32-E72D297353CC}">
              <c16:uniqueId val="{00000000-3980-4334-9402-1A966CA379A9}"/>
            </c:ext>
          </c:extLst>
        </c:ser>
        <c:dLbls>
          <c:showLegendKey val="0"/>
          <c:showVal val="1"/>
          <c:showCatName val="0"/>
          <c:showSerName val="0"/>
          <c:showPercent val="0"/>
          <c:showBubbleSize val="0"/>
        </c:dLbls>
        <c:gapWidth val="150"/>
        <c:shape val="box"/>
        <c:axId val="360026904"/>
        <c:axId val="360027560"/>
        <c:axId val="0"/>
      </c:bar3DChart>
      <c:catAx>
        <c:axId val="360026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Module</a:t>
                </a:r>
                <a:r>
                  <a:rPr lang="en-US" baseline="0"/>
                  <a:t> Name</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027560"/>
        <c:crosses val="autoZero"/>
        <c:auto val="1"/>
        <c:lblAlgn val="ctr"/>
        <c:lblOffset val="100"/>
        <c:noMultiLvlLbl val="0"/>
      </c:catAx>
      <c:valAx>
        <c:axId val="360027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Mark</a:t>
                </a:r>
                <a:r>
                  <a:rPr lang="en-US"/>
                  <a:t> </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0269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[Student_Performance_Analysis.xlsx]Status pivot sheet!PivotTable5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a:t>
            </a:r>
            <a:r>
              <a:rPr lang="en-US" baseline="0"/>
              <a:t> Status Distribution</a:t>
            </a:r>
            <a:endParaRPr lang="en-US"/>
          </a:p>
        </c:rich>
      </c:tx>
      <c:layout>
        <c:manualLayout>
          <c:xMode val="edge"/>
          <c:yMode val="edge"/>
          <c:x val="0.29643445958951625"/>
          <c:y val="2.14060998395104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w="19050">
            <a:solidFill>
              <a:schemeClr val="lt1"/>
            </a:solid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B4485B2-4232-46A5-A504-AD9A104D1854}"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7"/>
        <c:spPr>
          <a:solidFill>
            <a:schemeClr val="accent1"/>
          </a:solidFill>
          <a:ln w="19050">
            <a:solidFill>
              <a:schemeClr val="lt1"/>
            </a:solid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7E9B4E4-612E-4221-B77B-C3498BAA1612}"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2"/>
          </a:solidFill>
          <a:ln w="19050">
            <a:solidFill>
              <a:schemeClr val="lt1"/>
            </a:solid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11"/>
        <c:spPr>
          <a:solidFill>
            <a:schemeClr val="accent1"/>
          </a:solidFill>
          <a:ln w="19050">
            <a:solidFill>
              <a:schemeClr val="lt1"/>
            </a:solid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'Status pivot sheet'!$B$3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0915-419B-8A44-99CD008DE5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0915-419B-8A44-99CD008DE5CD}"/>
              </c:ext>
            </c:extLst>
          </c:dPt>
          <c:dLbls>
            <c:dLbl>
              <c:idx val="0"/>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8-0915-419B-8A44-99CD008DE5CD}"/>
                </c:ext>
              </c:extLst>
            </c:dLbl>
            <c:dLbl>
              <c:idx val="1"/>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0915-419B-8A44-99CD008DE5C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'Status pivot sheet'!$A$4:$A$6</c:f>
              <c:strCache>
                <c:ptCount val="2"/>
                <c:pt idx="0">
                  <c:v>Fail</c:v>
                </c:pt>
                <c:pt idx="1">
                  <c:v>Pass</c:v>
                </c:pt>
              </c:strCache>
            </c:strRef>
          </c:cat>
          <c:val>
            <c:numRef>
              <c:f>'Status pivot sheet'!$B$4:$B$6</c:f>
              <c:numCache>
                <c:formatCode>General</c:formatCode>
                <c:ptCount val="2"/>
                <c:pt idx="0">
                  <c:v>3</c:v>
                </c:pt>
                <c:pt idx="1">
                  <c:v>27</c:v>
                </c:pt>
              </c:numCache>
            </c:numRef>
          </c:val>
          <c:extLst>
            <c:ext xmlns:c16="http://schemas.microsoft.com/office/drawing/2014/chart" uri="{C3380CC4-5D6E-409C-BE32-E72D297353CC}">
              <c16:uniqueId val="{00000006-0915-419B-8A44-99CD008DE5C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[Student_Performance_Analysis.xlsx]Status pivot sheet!PivotTable5</c:name>
    <c:fmtId val="0"/>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baseline="0">
                <a:effectLst/>
              </a:rPr>
              <a:t>Student Status Distribution</a:t>
            </a:r>
            <a:endParaRPr lang="en-US">
              <a:effectLst/>
            </a:endParaRPr>
          </a:p>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sz="1200"/>
          </a:p>
        </c:rich>
      </c:tx>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5184558180227473"/>
          <c:y val="0.22666375036453776"/>
          <c:w val="0.40047572178477692"/>
          <c:h val="0.66745953630796151"/>
        </c:manualLayout>
      </c:layout>
      <c:pieChart>
        <c:varyColors val="1"/>
        <c:ser>
          <c:idx val="0"/>
          <c:order val="0"/>
          <c:tx>
            <c:strRef>
              <c:f>'Status pivot sheet'!$B$3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'Status pivot sheet'!$A$4:$A$6</c:f>
              <c:strCache>
                <c:ptCount val="2"/>
                <c:pt idx="0">
                  <c:v>Fail</c:v>
                </c:pt>
                <c:pt idx="1">
                  <c:v>Pass</c:v>
                </c:pt>
              </c:strCache>
            </c:strRef>
          </c:cat>
          <c:val>
            <c:numRef>
              <c:f>'Status pivot sheet'!$B$4:$B$6</c:f>
              <c:numCache>
                <c:formatCode>General</c:formatCode>
                <c:ptCount val="2"/>
                <c:pt idx="0">
                  <c:v>3</c:v>
                </c:pt>
                <c:pt idx="1">
                  <c:v>27</c:v>
                </c:pt>
              </c:numCache>
            </c:numRef>
          </c:val>
          <c:extLst>
            <c:ext xmlns:c16="http://schemas.microsoft.com/office/drawing/2014/chart" uri="{C3380CC4-5D6E-409C-BE32-E72D297353CC}">
              <c16:uniqueId val="{00000003-2E05-4A50-87A9-B2E167DCC20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919162</xdr:colOff>
      <xdr:row>2</xdr:row>
      <xdr:rowOff>0</xdr:rowOff>
    </xdr:from>
    <xdr:to>
      <xdr:col>10</xdr:col>
      <xdr:colOff>447675</xdr:colOff>
      <xdr:row>19</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600076</xdr:colOff>
      <xdr:row>6</xdr:row>
      <xdr:rowOff>9524</xdr:rowOff>
    </xdr:from>
    <xdr:to>
      <xdr:col>17</xdr:col>
      <xdr:colOff>0</xdr:colOff>
      <xdr:row>24</xdr:row>
      <xdr:rowOff>177938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606145</xdr:colOff>
      <xdr:row>26</xdr:row>
      <xdr:rowOff>19051</xdr:rowOff>
    </xdr:from>
    <xdr:to>
      <xdr:col>11</xdr:col>
      <xdr:colOff>606145</xdr:colOff>
      <xdr:row>34</xdr:row>
      <xdr:rowOff>28575</xdr:rowOff>
    </xdr:to>
    <mc:AlternateContent xmlns:mc="http://schemas.openxmlformats.org/markup-compatibility/2006">
      <mc:Choice xmlns:a14="http://schemas.microsoft.com/office/drawing/2010/main" Requires="a14">
        <xdr:graphicFrame macro="">
          <xdr:nvGraphicFramePr>
            <xdr:cNvPr id="4" name="Module"/>
            <xdr:cNvGraphicFramePr/>
          </xdr:nvGraphicFramePr>
          <xdr:xfrm>
            <a:off x="0" y="0"/>
            <a:ext cx="0" cy="0"/>
          </xdr:xfrm>
          <a:graphic>
            <a:graphicData uri="http://schemas.microsoft.com/office/drawing/2010/slicer">
              <sle:slicer xmlns:sle="http://schemas.microsoft.com/office/drawing/2010/slicer" name="Module"/>
            </a:graphicData>
          </a:graphic>
        </xdr:graphicFrame>
      </mc:Choice>
      <mc:Fallback>
        <xdr:sp macro="" textlink="">
          <xdr:nvSpPr>
            <xdr:cNvPr id="0" name=""/>
            <xdr:cNvSpPr>
              <a:spLocks noTextEdit="1"/>
            </xdr:cNvSpPr>
          </xdr:nvSpPr>
          <xdr:spPr>
            <a:xfrm>
              <a:off x="5577986" y="5137430"/>
              <a:ext cx="1821263" cy="15167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9525</xdr:colOff>
      <xdr:row>26</xdr:row>
      <xdr:rowOff>30460</xdr:rowOff>
    </xdr:from>
    <xdr:to>
      <xdr:col>8</xdr:col>
      <xdr:colOff>9525</xdr:colOff>
      <xdr:row>34</xdr:row>
      <xdr:rowOff>39984</xdr:rowOff>
    </xdr:to>
    <mc:AlternateContent xmlns:mc="http://schemas.openxmlformats.org/markup-compatibility/2006">
      <mc:Choice xmlns:a14="http://schemas.microsoft.com/office/drawing/2010/main" Requires="a14">
        <xdr:graphicFrame macro="">
          <xdr:nvGraphicFramePr>
            <xdr:cNvPr id="5"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3160102" y="5148839"/>
              <a:ext cx="1821264" cy="15167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xdr:row>
      <xdr:rowOff>9525</xdr:rowOff>
    </xdr:from>
    <xdr:to>
      <xdr:col>8</xdr:col>
      <xdr:colOff>0</xdr:colOff>
      <xdr:row>24</xdr:row>
      <xdr:rowOff>177939</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14287</xdr:colOff>
      <xdr:row>2</xdr:row>
      <xdr:rowOff>19050</xdr:rowOff>
    </xdr:from>
    <xdr:to>
      <xdr:col>9</xdr:col>
      <xdr:colOff>590550</xdr:colOff>
      <xdr:row>16</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eba" refreshedDate="46198.34317083333" createdVersion="6" refreshedVersion="6" minRefreshableVersion="3" recordCount="30">
  <cacheSource type="worksheet">
    <worksheetSource ref="A1:K31" sheet="Student_marks"/>
  </cacheSource>
  <cacheFields count="11">
    <cacheField name="StudentID" numFmtId="0">
      <sharedItems/>
    </cacheField>
    <cacheField name="StudentName" numFmtId="0">
      <sharedItems/>
    </cacheField>
    <cacheField name="Module" numFmtId="0">
      <sharedItems count="4">
        <s v="Internet Programming"/>
        <s v="Database Systems"/>
        <s v="Data Analytics"/>
        <s v="Mobile Computing"/>
      </sharedItems>
    </cacheField>
    <cacheField name="Gender" numFmtId="0">
      <sharedItems/>
    </cacheField>
    <cacheField name="Attendance" numFmtId="0">
      <sharedItems containsSemiMixedTypes="0" containsString="0" containsNumber="1" containsInteger="1" minValue="55" maxValue="98"/>
    </cacheField>
    <cacheField name="TestMark" numFmtId="0">
      <sharedItems containsSemiMixedTypes="0" containsString="0" containsNumber="1" containsInteger="1" minValue="40" maxValue="95"/>
    </cacheField>
    <cacheField name="AssignmentMark" numFmtId="0">
      <sharedItems containsSemiMixedTypes="0" containsString="0" containsNumber="1" containsInteger="1" minValue="9" maxValue="94"/>
    </cacheField>
    <cacheField name="FinalMark" numFmtId="0">
      <sharedItems containsSemiMixedTypes="0" containsString="0" containsNumber="1" containsInteger="1" minValue="44" maxValue="95"/>
    </cacheField>
    <cacheField name="Status" numFmtId="0">
      <sharedItems count="2">
        <s v="Pass"/>
        <s v="Fail"/>
      </sharedItems>
    </cacheField>
    <cacheField name="Performance" numFmtId="0">
      <sharedItems/>
    </cacheField>
    <cacheField name="Lecturer"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
  <r>
    <s v="S016"/>
    <s v="Precious Ndlovu"/>
    <x v="0"/>
    <s v="Female"/>
    <n v="98"/>
    <n v="95"/>
    <n v="94"/>
    <n v="95"/>
    <x v="0"/>
    <s v="Excellent"/>
    <s v="Mr Adams"/>
  </r>
  <r>
    <s v="S002"/>
    <s v="Brian Molefe"/>
    <x v="1"/>
    <s v="Male"/>
    <n v="85"/>
    <n v="67"/>
    <n v="72"/>
    <n v="70"/>
    <x v="0"/>
    <s v="Pass"/>
    <s v="Mrs Smith"/>
  </r>
  <r>
    <s v="S025"/>
    <s v="Yolanda Zulu"/>
    <x v="2"/>
    <s v="Female"/>
    <n v="97"/>
    <n v="92"/>
    <n v="94"/>
    <n v="93"/>
    <x v="0"/>
    <s v="Excellent"/>
    <s v="Ms Dlamini"/>
  </r>
  <r>
    <s v="S004"/>
    <s v="David Khumalo"/>
    <x v="1"/>
    <s v="Male"/>
    <n v="60"/>
    <n v="45"/>
    <n v="55"/>
    <n v="50"/>
    <x v="0"/>
    <s v="Pass"/>
    <s v="Mrs Smith"/>
  </r>
  <r>
    <s v="S005"/>
    <s v="Eric Ndlovu"/>
    <x v="1"/>
    <s v="Male"/>
    <n v="78"/>
    <n v="58"/>
    <n v="60"/>
    <n v="59"/>
    <x v="0"/>
    <s v="Pass"/>
    <s v="Mrs Smith"/>
  </r>
  <r>
    <s v="S006"/>
    <s v="Faith Dlamini"/>
    <x v="1"/>
    <s v="Female"/>
    <n v="88"/>
    <n v="74"/>
    <n v="79"/>
    <n v="77"/>
    <x v="0"/>
    <s v="Excellent"/>
    <s v="Mrs Smith"/>
  </r>
  <r>
    <s v="S007"/>
    <s v="Gift Maseko"/>
    <x v="1"/>
    <s v="Male"/>
    <n v="55"/>
    <n v="40"/>
    <n v="48"/>
    <n v="44"/>
    <x v="1"/>
    <s v="At Risk"/>
    <s v="Mrs Smith"/>
  </r>
  <r>
    <s v="S008"/>
    <s v="Hannah Sithole"/>
    <x v="1"/>
    <s v="Female"/>
    <n v="97"/>
    <n v="91"/>
    <n v="93"/>
    <n v="92"/>
    <x v="0"/>
    <s v="Excellent"/>
    <s v="Mrs Smith"/>
  </r>
  <r>
    <s v="S009"/>
    <s v="Ian Mabaso"/>
    <x v="0"/>
    <s v="Male"/>
    <n v="82"/>
    <n v="69"/>
    <n v="75"/>
    <n v="72"/>
    <x v="0"/>
    <s v="Pass"/>
    <s v="Mr Adams"/>
  </r>
  <r>
    <s v="S020"/>
    <s v="Thandi Molefe"/>
    <x v="3"/>
    <s v="Female"/>
    <n v="96"/>
    <n v="90"/>
    <n v="92"/>
    <n v="91"/>
    <x v="0"/>
    <s v="Excellent"/>
    <s v="Mr Naidoo"/>
  </r>
  <r>
    <s v="S011"/>
    <s v="Kabelo Radebe"/>
    <x v="0"/>
    <s v="Male"/>
    <n v="75"/>
    <n v="62"/>
    <n v="68"/>
    <n v="65"/>
    <x v="0"/>
    <s v="Pass"/>
    <s v="Mr Adams"/>
  </r>
  <r>
    <s v="S012"/>
    <s v="Lerato Ncube"/>
    <x v="0"/>
    <s v="Female"/>
    <n v="89"/>
    <n v="80"/>
    <n v="82"/>
    <n v="81"/>
    <x v="0"/>
    <s v="Excellent"/>
    <s v="Mr Adams"/>
  </r>
  <r>
    <s v="S013"/>
    <s v="Michael Zulu"/>
    <x v="0"/>
    <s v="Male"/>
    <n v="58"/>
    <n v="47"/>
    <n v="50"/>
    <n v="49"/>
    <x v="1"/>
    <s v="At Risk"/>
    <s v="Mr Adams"/>
  </r>
  <r>
    <s v="S014"/>
    <s v="Nomsa Mokoena"/>
    <x v="0"/>
    <s v="Female"/>
    <n v="94"/>
    <n v="89"/>
    <n v="91"/>
    <n v="90"/>
    <x v="0"/>
    <s v="Excellent"/>
    <s v="Mr Adams"/>
  </r>
  <r>
    <s v="S015"/>
    <s v="Oscar Mthethwa"/>
    <x v="0"/>
    <s v="Male"/>
    <n v="67"/>
    <n v="55"/>
    <n v="60"/>
    <n v="58"/>
    <x v="0"/>
    <s v="Pass"/>
    <s v="Mr Adams"/>
  </r>
  <r>
    <s v="S003"/>
    <s v="Cindy Mokoena"/>
    <x v="1"/>
    <s v="Female"/>
    <n v="95"/>
    <n v="88"/>
    <n v="90"/>
    <n v="89"/>
    <x v="0"/>
    <s v="Excellent"/>
    <s v="Mrs Smith"/>
  </r>
  <r>
    <s v="S017"/>
    <s v="Quinton Mokoena"/>
    <x v="3"/>
    <s v="Male"/>
    <n v="87"/>
    <n v="76"/>
    <n v="80"/>
    <n v="78"/>
    <x v="0"/>
    <s v="Excellent"/>
    <s v="Mr Naidoo"/>
  </r>
  <r>
    <s v="S024"/>
    <s v="Xolani Sithole"/>
    <x v="3"/>
    <s v="Male"/>
    <n v="93"/>
    <n v="87"/>
    <n v="89"/>
    <n v="88"/>
    <x v="0"/>
    <s v="Excellent"/>
    <s v="Mr Naidoo"/>
  </r>
  <r>
    <s v="S019"/>
    <s v="Sipho Dlamini"/>
    <x v="3"/>
    <s v="Male"/>
    <n v="73"/>
    <n v="61"/>
    <n v="65"/>
    <n v="63"/>
    <x v="0"/>
    <s v="Pass"/>
    <s v="Mr Naidoo"/>
  </r>
  <r>
    <s v="S010"/>
    <s v="Jessica Mthembu"/>
    <x v="0"/>
    <s v="Female"/>
    <n v="91"/>
    <n v="84"/>
    <n v="86"/>
    <n v="85"/>
    <x v="0"/>
    <s v="Excellent"/>
    <s v="Mr Adams"/>
  </r>
  <r>
    <s v="S021"/>
    <s v="Uyiso Khumalo"/>
    <x v="3"/>
    <s v="Male"/>
    <n v="65"/>
    <n v="52"/>
    <n v="57"/>
    <n v="55"/>
    <x v="0"/>
    <s v="Pass"/>
    <s v="Mr Naidoo"/>
  </r>
  <r>
    <s v="S022"/>
    <s v="Valerie Ncube"/>
    <x v="3"/>
    <s v="Female"/>
    <n v="88"/>
    <n v="79"/>
    <n v="81"/>
    <n v="80"/>
    <x v="0"/>
    <s v="Excellent"/>
    <s v="Mr Naidoo"/>
  </r>
  <r>
    <s v="S023"/>
    <s v="Wandile Maseko"/>
    <x v="3"/>
    <s v="Male"/>
    <n v="59"/>
    <n v="44"/>
    <n v="49"/>
    <n v="47"/>
    <x v="1"/>
    <s v="At Risk"/>
    <s v="Mr Naidoo"/>
  </r>
  <r>
    <s v="S018"/>
    <s v="Rorisang Nkosi"/>
    <x v="3"/>
    <s v="Female"/>
    <n v="90"/>
    <n v="82"/>
    <n v="84"/>
    <n v="83"/>
    <x v="0"/>
    <s v="Excellent"/>
    <s v="Mr Naidoo"/>
  </r>
  <r>
    <s v="S001"/>
    <s v="Alice Nkosi"/>
    <x v="1"/>
    <s v="Female"/>
    <n v="92"/>
    <n v="78"/>
    <n v="85"/>
    <n v="81"/>
    <x v="0"/>
    <s v="Excellent"/>
    <s v="Mrs Smith"/>
  </r>
  <r>
    <s v="S026"/>
    <s v="Zanele Dlamini"/>
    <x v="2"/>
    <s v="Female"/>
    <n v="84"/>
    <n v="71"/>
    <n v="76"/>
    <n v="74"/>
    <x v="0"/>
    <s v="Pass"/>
    <s v="Ms Dlamini"/>
  </r>
  <r>
    <s v="S027"/>
    <s v="Ayanda Khosa"/>
    <x v="2"/>
    <s v="Male"/>
    <n v="77"/>
    <n v="65"/>
    <n v="70"/>
    <n v="68"/>
    <x v="0"/>
    <s v="Pass"/>
    <s v="Ms Dlamini"/>
  </r>
  <r>
    <s v="S028"/>
    <s v="Bongani Nkomo"/>
    <x v="2"/>
    <s v="Male"/>
    <n v="62"/>
    <n v="48"/>
    <n v="53"/>
    <n v="51"/>
    <x v="0"/>
    <s v="Pass"/>
    <s v="Ms Dlamini"/>
  </r>
  <r>
    <s v="S029"/>
    <s v="Chuma Radebe"/>
    <x v="2"/>
    <s v="Male"/>
    <n v="89"/>
    <n v="81"/>
    <n v="85"/>
    <n v="83"/>
    <x v="0"/>
    <s v="Excellent"/>
    <s v="Ms Dlamini"/>
  </r>
  <r>
    <s v="S030"/>
    <s v="Dineo Molefe"/>
    <x v="2"/>
    <s v="Female"/>
    <n v="95"/>
    <n v="88"/>
    <n v="9"/>
    <n v="68"/>
    <x v="0"/>
    <s v="Pass"/>
    <s v="Ms Dlamin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Module">
  <location ref="A3:B8" firstHeaderRow="1" firstDataRow="1" firstDataCol="1"/>
  <pivotFields count="11">
    <pivotField showAll="0"/>
    <pivotField showAll="0"/>
    <pivotField axis="axisRow"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s>
  <rowFields count="1">
    <field x="2"/>
  </rowFields>
  <rowItems count="5">
    <i>
      <x v="2"/>
    </i>
    <i>
      <x v="3"/>
    </i>
    <i>
      <x/>
    </i>
    <i>
      <x v="1"/>
    </i>
    <i t="grand">
      <x/>
    </i>
  </rowItems>
  <colItems count="1">
    <i/>
  </colItems>
  <dataFields count="1">
    <dataField name="Avg Mark" fld="7" subtotal="average" baseField="2" baseItem="0"/>
  </dataFields>
  <chartFormats count="2">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Status">
  <location ref="A3:B6" firstHeaderRow="1" firstDataRow="1" firstDataCol="1"/>
  <pivotFields count="11">
    <pivotField dataField="1"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s>
  <rowFields count="1">
    <field x="8"/>
  </rowFields>
  <rowItems count="3">
    <i>
      <x/>
    </i>
    <i>
      <x v="1"/>
    </i>
    <i t="grand">
      <x/>
    </i>
  </rowItems>
  <colItems count="1">
    <i/>
  </colItems>
  <dataFields count="1">
    <dataField name="Count of StudentID" fld="0" subtotal="count" baseField="0" baseItem="0"/>
  </dataFields>
  <chartFormats count="4">
    <chartFormat chart="7"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8" count="1" selected="0">
            <x v="1"/>
          </reference>
        </references>
      </pivotArea>
    </chartFormat>
    <chartFormat chart="7" format="1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dule" sourceName="Module">
  <pivotTables>
    <pivotTable tabId="7" name="PivotTable4"/>
  </pivotTables>
  <data>
    <tabular pivotCacheId="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us" sourceName="Status">
  <pivotTables>
    <pivotTable tabId="8" name="PivotTable5"/>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dule" cache="Slicer_Module" caption="Module" rowHeight="241300"/>
  <slicer name="Status" cache="Slicer_Status" caption="Status" rowHeight="241300"/>
</slicers>
</file>

<file path=xl/tables/table1.xml><?xml version="1.0" encoding="utf-8"?>
<table xmlns="http://schemas.openxmlformats.org/spreadsheetml/2006/main" id="4" name="Table4" displayName="Table4" ref="A1:B5" totalsRowShown="0" headerRowDxfId="0">
  <autoFilter ref="A1:B5"/>
  <tableColumns count="2">
    <tableColumn id="1" name="Module"/>
    <tableColumn id="2" name="Lectur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G25" sqref="G25"/>
    </sheetView>
  </sheetViews>
  <sheetFormatPr defaultRowHeight="15" x14ac:dyDescent="0.25"/>
  <cols>
    <col min="1" max="1" width="20.85546875" bestFit="1" customWidth="1"/>
    <col min="2" max="2" width="12" bestFit="1" customWidth="1"/>
    <col min="3" max="3" width="13.85546875" customWidth="1"/>
    <col min="4" max="4" width="11.28515625" customWidth="1"/>
    <col min="5" max="5" width="11.28515625" bestFit="1" customWidth="1"/>
  </cols>
  <sheetData>
    <row r="3" spans="1:2" x14ac:dyDescent="0.25">
      <c r="A3" s="11" t="s">
        <v>2</v>
      </c>
      <c r="B3" t="s">
        <v>83</v>
      </c>
    </row>
    <row r="4" spans="1:2" x14ac:dyDescent="0.25">
      <c r="A4" s="12" t="s">
        <v>29</v>
      </c>
      <c r="B4" s="13">
        <v>74.375</v>
      </c>
    </row>
    <row r="5" spans="1:2" x14ac:dyDescent="0.25">
      <c r="A5" s="12" t="s">
        <v>46</v>
      </c>
      <c r="B5" s="13">
        <v>73.125</v>
      </c>
    </row>
    <row r="6" spans="1:2" x14ac:dyDescent="0.25">
      <c r="A6" s="12" t="s">
        <v>63</v>
      </c>
      <c r="B6" s="13">
        <v>72.833333333333329</v>
      </c>
    </row>
    <row r="7" spans="1:2" x14ac:dyDescent="0.25">
      <c r="A7" s="12" t="s">
        <v>10</v>
      </c>
      <c r="B7" s="13">
        <v>70.25</v>
      </c>
    </row>
    <row r="8" spans="1:2" x14ac:dyDescent="0.25">
      <c r="A8" s="12" t="s">
        <v>81</v>
      </c>
      <c r="B8" s="13">
        <v>72.63333333333334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0"/>
  <sheetViews>
    <sheetView showGridLines="0" tabSelected="1" zoomScale="91" workbookViewId="0">
      <selection activeCell="I4" sqref="I4"/>
    </sheetView>
  </sheetViews>
  <sheetFormatPr defaultRowHeight="15" x14ac:dyDescent="0.25"/>
  <cols>
    <col min="4" max="4" width="10.85546875" customWidth="1"/>
  </cols>
  <sheetData>
    <row r="1" spans="1:7" ht="12" customHeight="1" x14ac:dyDescent="0.25"/>
    <row r="2" spans="1:7" ht="22.5" customHeight="1" x14ac:dyDescent="0.35">
      <c r="A2" s="22" t="s">
        <v>98</v>
      </c>
      <c r="B2" s="22"/>
      <c r="C2" s="22"/>
      <c r="D2" s="22"/>
      <c r="E2" s="22"/>
      <c r="F2" s="22"/>
      <c r="G2" s="22"/>
    </row>
    <row r="3" spans="1:7" ht="15" customHeight="1" x14ac:dyDescent="0.25"/>
    <row r="4" spans="1:7" ht="18.75" x14ac:dyDescent="0.3">
      <c r="A4" s="17" t="s">
        <v>86</v>
      </c>
      <c r="B4" s="17"/>
      <c r="C4" s="17" t="s">
        <v>97</v>
      </c>
      <c r="D4" s="17"/>
      <c r="E4" s="17" t="s">
        <v>87</v>
      </c>
      <c r="F4" s="17"/>
    </row>
    <row r="5" spans="1:7" ht="23.25" x14ac:dyDescent="0.35">
      <c r="A5" s="18">
        <f>30</f>
        <v>30</v>
      </c>
      <c r="B5" s="18"/>
      <c r="C5" s="18">
        <f>27</f>
        <v>27</v>
      </c>
      <c r="D5" s="18"/>
      <c r="E5" s="19">
        <f>27/30</f>
        <v>0.9</v>
      </c>
      <c r="F5" s="19"/>
    </row>
    <row r="36" spans="1:7" ht="18.75" x14ac:dyDescent="0.3">
      <c r="A36" s="17" t="s">
        <v>88</v>
      </c>
      <c r="B36" s="17"/>
      <c r="C36" s="17"/>
    </row>
    <row r="37" spans="1:7" ht="15.75" x14ac:dyDescent="0.25">
      <c r="A37" s="20" t="s">
        <v>89</v>
      </c>
      <c r="B37" s="20"/>
      <c r="C37" s="20"/>
      <c r="D37" s="15" t="s">
        <v>90</v>
      </c>
      <c r="E37" s="15"/>
      <c r="F37" s="15"/>
      <c r="G37" s="15"/>
    </row>
    <row r="38" spans="1:7" ht="19.5" customHeight="1" x14ac:dyDescent="0.25">
      <c r="A38" s="21" t="s">
        <v>91</v>
      </c>
      <c r="B38" s="21"/>
      <c r="C38" s="21"/>
      <c r="D38" s="15" t="s">
        <v>92</v>
      </c>
      <c r="E38" s="15"/>
      <c r="F38" s="15"/>
      <c r="G38" s="15"/>
    </row>
    <row r="39" spans="1:7" ht="18" customHeight="1" x14ac:dyDescent="0.25">
      <c r="A39" s="21" t="s">
        <v>93</v>
      </c>
      <c r="B39" s="21"/>
      <c r="C39" s="21"/>
      <c r="D39" s="16" t="s">
        <v>95</v>
      </c>
      <c r="E39" s="16"/>
      <c r="F39" s="16"/>
    </row>
    <row r="40" spans="1:7" ht="17.25" customHeight="1" x14ac:dyDescent="0.25">
      <c r="A40" s="21" t="s">
        <v>94</v>
      </c>
      <c r="B40" s="21"/>
      <c r="C40" s="21"/>
      <c r="D40" s="14" t="s">
        <v>96</v>
      </c>
      <c r="E40" s="14"/>
      <c r="F40" s="14"/>
      <c r="G40" s="14"/>
    </row>
  </sheetData>
  <mergeCells count="15">
    <mergeCell ref="D38:G38"/>
    <mergeCell ref="D37:G37"/>
    <mergeCell ref="A2:G2"/>
    <mergeCell ref="E4:F4"/>
    <mergeCell ref="C4:D4"/>
    <mergeCell ref="A4:B4"/>
    <mergeCell ref="A5:B5"/>
    <mergeCell ref="C5:D5"/>
    <mergeCell ref="E5:F5"/>
    <mergeCell ref="A36:C36"/>
    <mergeCell ref="D40:G40"/>
    <mergeCell ref="A40:C40"/>
    <mergeCell ref="A39:C39"/>
    <mergeCell ref="A38:C38"/>
    <mergeCell ref="A37:C3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H27" sqref="H27"/>
    </sheetView>
  </sheetViews>
  <sheetFormatPr defaultRowHeight="15" x14ac:dyDescent="0.25"/>
  <cols>
    <col min="1" max="1" width="11.28515625" customWidth="1"/>
    <col min="2" max="2" width="18.140625" bestFit="1" customWidth="1"/>
    <col min="3" max="3" width="10.5703125" customWidth="1"/>
  </cols>
  <sheetData>
    <row r="3" spans="1:2" x14ac:dyDescent="0.25">
      <c r="A3" s="11" t="s">
        <v>74</v>
      </c>
      <c r="B3" t="s">
        <v>82</v>
      </c>
    </row>
    <row r="4" spans="1:2" x14ac:dyDescent="0.25">
      <c r="A4" s="12" t="s">
        <v>84</v>
      </c>
      <c r="B4" s="13">
        <v>3</v>
      </c>
    </row>
    <row r="5" spans="1:2" x14ac:dyDescent="0.25">
      <c r="A5" s="12" t="s">
        <v>85</v>
      </c>
      <c r="B5" s="13">
        <v>27</v>
      </c>
    </row>
    <row r="6" spans="1:2" x14ac:dyDescent="0.25">
      <c r="A6" s="12" t="s">
        <v>81</v>
      </c>
      <c r="B6" s="13">
        <v>30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workbookViewId="0">
      <selection activeCell="I2" sqref="I2"/>
    </sheetView>
  </sheetViews>
  <sheetFormatPr defaultRowHeight="15" x14ac:dyDescent="0.25"/>
  <cols>
    <col min="1" max="1" width="13" customWidth="1"/>
    <col min="2" max="2" width="20.85546875" customWidth="1"/>
    <col min="3" max="3" width="23" customWidth="1"/>
    <col min="4" max="4" width="15.7109375" customWidth="1"/>
    <col min="5" max="5" width="12.7109375" customWidth="1"/>
    <col min="6" max="6" width="13.85546875" customWidth="1"/>
    <col min="7" max="7" width="14" customWidth="1"/>
    <col min="8" max="8" width="13.7109375" customWidth="1"/>
    <col min="9" max="9" width="13.28515625" customWidth="1"/>
    <col min="10" max="10" width="12.85546875" customWidth="1"/>
    <col min="11" max="11" width="13.42578125" customWidth="1"/>
  </cols>
  <sheetData>
    <row r="1" spans="1:11" x14ac:dyDescent="0.25">
      <c r="A1" s="2" t="s">
        <v>0</v>
      </c>
      <c r="B1" s="3" t="s">
        <v>1</v>
      </c>
      <c r="C1" s="3" t="s">
        <v>2</v>
      </c>
      <c r="D1" s="3" t="s">
        <v>3</v>
      </c>
      <c r="E1" s="3" t="s">
        <v>4</v>
      </c>
      <c r="F1" s="3" t="s">
        <v>5</v>
      </c>
      <c r="G1" s="3" t="s">
        <v>6</v>
      </c>
      <c r="H1" s="3" t="s">
        <v>7</v>
      </c>
      <c r="I1" s="3" t="s">
        <v>74</v>
      </c>
      <c r="J1" s="3" t="s">
        <v>75</v>
      </c>
      <c r="K1" s="4" t="s">
        <v>76</v>
      </c>
    </row>
    <row r="2" spans="1:11" x14ac:dyDescent="0.25">
      <c r="A2" s="5" t="s">
        <v>42</v>
      </c>
      <c r="B2" s="6" t="s">
        <v>43</v>
      </c>
      <c r="C2" s="6" t="s">
        <v>29</v>
      </c>
      <c r="D2" s="6" t="s">
        <v>11</v>
      </c>
      <c r="E2" s="6">
        <v>98</v>
      </c>
      <c r="F2" s="6">
        <v>95</v>
      </c>
      <c r="G2" s="6">
        <v>94</v>
      </c>
      <c r="H2" s="6">
        <v>95</v>
      </c>
      <c r="I2" s="6" t="str">
        <f>IF(H2&gt;=50, "Pass","Fail")</f>
        <v>Pass</v>
      </c>
      <c r="J2" s="6" t="str">
        <f>IF(H2&gt;=75,"Excellent",IF(H2&gt;=50,"Pass","At Risk"))</f>
        <v>Excellent</v>
      </c>
      <c r="K2" s="7" t="str">
        <f>VLOOKUP(C2,Modules!A:B, 2,FALSE)</f>
        <v>Mr Adams</v>
      </c>
    </row>
    <row r="3" spans="1:11" x14ac:dyDescent="0.25">
      <c r="A3" s="8" t="s">
        <v>12</v>
      </c>
      <c r="B3" s="9" t="s">
        <v>13</v>
      </c>
      <c r="C3" s="9" t="s">
        <v>10</v>
      </c>
      <c r="D3" s="9" t="s">
        <v>14</v>
      </c>
      <c r="E3" s="9">
        <v>85</v>
      </c>
      <c r="F3" s="9">
        <v>67</v>
      </c>
      <c r="G3" s="9">
        <v>72</v>
      </c>
      <c r="H3" s="9">
        <v>70</v>
      </c>
      <c r="I3" s="9" t="str">
        <f>IF(H3&gt;=50, "Pass","Fail")</f>
        <v>Pass</v>
      </c>
      <c r="J3" s="9" t="str">
        <f>IF(H3&gt;=75,"Excellent",IF(H3&gt;=50,"Pass","At Risk"))</f>
        <v>Pass</v>
      </c>
      <c r="K3" s="10" t="str">
        <f>VLOOKUP(C3,Modules!A:B, 2,FALSE)</f>
        <v>Mrs Smith</v>
      </c>
    </row>
    <row r="4" spans="1:11" x14ac:dyDescent="0.25">
      <c r="A4" s="5" t="s">
        <v>61</v>
      </c>
      <c r="B4" s="6" t="s">
        <v>62</v>
      </c>
      <c r="C4" s="6" t="s">
        <v>63</v>
      </c>
      <c r="D4" s="6" t="s">
        <v>11</v>
      </c>
      <c r="E4" s="6">
        <v>97</v>
      </c>
      <c r="F4" s="6">
        <v>92</v>
      </c>
      <c r="G4" s="6">
        <v>94</v>
      </c>
      <c r="H4" s="6">
        <v>93</v>
      </c>
      <c r="I4" s="6" t="str">
        <f>IF(H4&gt;=50, "Pass","Fail")</f>
        <v>Pass</v>
      </c>
      <c r="J4" s="6" t="str">
        <f>IF(H4&gt;=75,"Excellent",IF(H4&gt;=50,"Pass","At Risk"))</f>
        <v>Excellent</v>
      </c>
      <c r="K4" s="7" t="str">
        <f>VLOOKUP(C4,Modules!A:B, 2,FALSE)</f>
        <v>Ms Dlamini</v>
      </c>
    </row>
    <row r="5" spans="1:11" x14ac:dyDescent="0.25">
      <c r="A5" s="8" t="s">
        <v>17</v>
      </c>
      <c r="B5" s="9" t="s">
        <v>18</v>
      </c>
      <c r="C5" s="9" t="s">
        <v>10</v>
      </c>
      <c r="D5" s="9" t="s">
        <v>14</v>
      </c>
      <c r="E5" s="9">
        <v>60</v>
      </c>
      <c r="F5" s="9">
        <v>45</v>
      </c>
      <c r="G5" s="9">
        <v>55</v>
      </c>
      <c r="H5" s="9">
        <v>50</v>
      </c>
      <c r="I5" s="9" t="str">
        <f>IF(H5&gt;=50, "Pass","Fail")</f>
        <v>Pass</v>
      </c>
      <c r="J5" s="9" t="str">
        <f>IF(H5&gt;=75,"Excellent",IF(H5&gt;=50,"Pass","At Risk"))</f>
        <v>Pass</v>
      </c>
      <c r="K5" s="10" t="str">
        <f>VLOOKUP(C5,Modules!A:B, 2,FALSE)</f>
        <v>Mrs Smith</v>
      </c>
    </row>
    <row r="6" spans="1:11" x14ac:dyDescent="0.25">
      <c r="A6" s="5" t="s">
        <v>19</v>
      </c>
      <c r="B6" s="6" t="s">
        <v>20</v>
      </c>
      <c r="C6" s="6" t="s">
        <v>10</v>
      </c>
      <c r="D6" s="6" t="s">
        <v>14</v>
      </c>
      <c r="E6" s="6">
        <v>78</v>
      </c>
      <c r="F6" s="6">
        <v>58</v>
      </c>
      <c r="G6" s="6">
        <v>60</v>
      </c>
      <c r="H6" s="6">
        <v>59</v>
      </c>
      <c r="I6" s="6" t="str">
        <f>IF(H6&gt;=50, "Pass","Fail")</f>
        <v>Pass</v>
      </c>
      <c r="J6" s="6" t="str">
        <f>IF(H6&gt;=75,"Excellent",IF(H6&gt;=50,"Pass","At Risk"))</f>
        <v>Pass</v>
      </c>
      <c r="K6" s="7" t="str">
        <f>VLOOKUP(C6,Modules!A:B, 2,FALSE)</f>
        <v>Mrs Smith</v>
      </c>
    </row>
    <row r="7" spans="1:11" x14ac:dyDescent="0.25">
      <c r="A7" s="8" t="s">
        <v>21</v>
      </c>
      <c r="B7" s="9" t="s">
        <v>22</v>
      </c>
      <c r="C7" s="9" t="s">
        <v>10</v>
      </c>
      <c r="D7" s="9" t="s">
        <v>11</v>
      </c>
      <c r="E7" s="9">
        <v>88</v>
      </c>
      <c r="F7" s="9">
        <v>74</v>
      </c>
      <c r="G7" s="9">
        <v>79</v>
      </c>
      <c r="H7" s="9">
        <v>77</v>
      </c>
      <c r="I7" s="9" t="str">
        <f>IF(H7&gt;=50, "Pass","Fail")</f>
        <v>Pass</v>
      </c>
      <c r="J7" s="9" t="str">
        <f>IF(H7&gt;=75,"Excellent",IF(H7&gt;=50,"Pass","At Risk"))</f>
        <v>Excellent</v>
      </c>
      <c r="K7" s="10" t="str">
        <f>VLOOKUP(C7,Modules!A:B, 2,FALSE)</f>
        <v>Mrs Smith</v>
      </c>
    </row>
    <row r="8" spans="1:11" x14ac:dyDescent="0.25">
      <c r="A8" s="5" t="s">
        <v>23</v>
      </c>
      <c r="B8" s="6" t="s">
        <v>24</v>
      </c>
      <c r="C8" s="6" t="s">
        <v>10</v>
      </c>
      <c r="D8" s="6" t="s">
        <v>14</v>
      </c>
      <c r="E8" s="6">
        <v>55</v>
      </c>
      <c r="F8" s="6">
        <v>40</v>
      </c>
      <c r="G8" s="6">
        <v>48</v>
      </c>
      <c r="H8" s="6">
        <v>44</v>
      </c>
      <c r="I8" s="6" t="str">
        <f>IF(H8&gt;=50, "Pass","Fail")</f>
        <v>Fail</v>
      </c>
      <c r="J8" s="6" t="str">
        <f>IF(H8&gt;=75,"Excellent",IF(H8&gt;=50,"Pass","At Risk"))</f>
        <v>At Risk</v>
      </c>
      <c r="K8" s="7" t="str">
        <f>VLOOKUP(C8,Modules!A:B, 2,FALSE)</f>
        <v>Mrs Smith</v>
      </c>
    </row>
    <row r="9" spans="1:11" x14ac:dyDescent="0.25">
      <c r="A9" s="8" t="s">
        <v>25</v>
      </c>
      <c r="B9" s="9" t="s">
        <v>26</v>
      </c>
      <c r="C9" s="9" t="s">
        <v>10</v>
      </c>
      <c r="D9" s="9" t="s">
        <v>11</v>
      </c>
      <c r="E9" s="9">
        <v>97</v>
      </c>
      <c r="F9" s="9">
        <v>91</v>
      </c>
      <c r="G9" s="9">
        <v>93</v>
      </c>
      <c r="H9" s="9">
        <v>92</v>
      </c>
      <c r="I9" s="9" t="str">
        <f>IF(H9&gt;=50, "Pass","Fail")</f>
        <v>Pass</v>
      </c>
      <c r="J9" s="9" t="str">
        <f>IF(H9&gt;=75,"Excellent",IF(H9&gt;=50,"Pass","At Risk"))</f>
        <v>Excellent</v>
      </c>
      <c r="K9" s="10" t="str">
        <f>VLOOKUP(C9,Modules!A:B, 2,FALSE)</f>
        <v>Mrs Smith</v>
      </c>
    </row>
    <row r="10" spans="1:11" x14ac:dyDescent="0.25">
      <c r="A10" s="5" t="s">
        <v>27</v>
      </c>
      <c r="B10" s="6" t="s">
        <v>28</v>
      </c>
      <c r="C10" s="6" t="s">
        <v>29</v>
      </c>
      <c r="D10" s="6" t="s">
        <v>14</v>
      </c>
      <c r="E10" s="6">
        <v>82</v>
      </c>
      <c r="F10" s="6">
        <v>69</v>
      </c>
      <c r="G10" s="6">
        <v>75</v>
      </c>
      <c r="H10" s="6">
        <v>72</v>
      </c>
      <c r="I10" s="6" t="str">
        <f>IF(H10&gt;=50, "Pass","Fail")</f>
        <v>Pass</v>
      </c>
      <c r="J10" s="6" t="str">
        <f>IF(H10&gt;=75,"Excellent",IF(H10&gt;=50,"Pass","At Risk"))</f>
        <v>Pass</v>
      </c>
      <c r="K10" s="7" t="str">
        <f>VLOOKUP(C10,Modules!A:B, 2,FALSE)</f>
        <v>Mr Adams</v>
      </c>
    </row>
    <row r="11" spans="1:11" x14ac:dyDescent="0.25">
      <c r="A11" s="8" t="s">
        <v>51</v>
      </c>
      <c r="B11" s="9" t="s">
        <v>52</v>
      </c>
      <c r="C11" s="9" t="s">
        <v>46</v>
      </c>
      <c r="D11" s="9" t="s">
        <v>11</v>
      </c>
      <c r="E11" s="9">
        <v>96</v>
      </c>
      <c r="F11" s="9">
        <v>90</v>
      </c>
      <c r="G11" s="9">
        <v>92</v>
      </c>
      <c r="H11" s="9">
        <v>91</v>
      </c>
      <c r="I11" s="9" t="str">
        <f>IF(H11&gt;=50, "Pass","Fail")</f>
        <v>Pass</v>
      </c>
      <c r="J11" s="9" t="str">
        <f>IF(H11&gt;=75,"Excellent",IF(H11&gt;=50,"Pass","At Risk"))</f>
        <v>Excellent</v>
      </c>
      <c r="K11" s="10" t="str">
        <f>VLOOKUP(C11,Modules!A:B, 2,FALSE)</f>
        <v>Mr Naidoo</v>
      </c>
    </row>
    <row r="12" spans="1:11" x14ac:dyDescent="0.25">
      <c r="A12" s="5" t="s">
        <v>32</v>
      </c>
      <c r="B12" s="6" t="s">
        <v>33</v>
      </c>
      <c r="C12" s="6" t="s">
        <v>29</v>
      </c>
      <c r="D12" s="6" t="s">
        <v>14</v>
      </c>
      <c r="E12" s="6">
        <v>75</v>
      </c>
      <c r="F12" s="6">
        <v>62</v>
      </c>
      <c r="G12" s="6">
        <v>68</v>
      </c>
      <c r="H12" s="6">
        <v>65</v>
      </c>
      <c r="I12" s="6" t="str">
        <f>IF(H12&gt;=50, "Pass","Fail")</f>
        <v>Pass</v>
      </c>
      <c r="J12" s="6" t="str">
        <f>IF(H12&gt;=75,"Excellent",IF(H12&gt;=50,"Pass","At Risk"))</f>
        <v>Pass</v>
      </c>
      <c r="K12" s="7" t="str">
        <f>VLOOKUP(C12,Modules!A:B, 2,FALSE)</f>
        <v>Mr Adams</v>
      </c>
    </row>
    <row r="13" spans="1:11" x14ac:dyDescent="0.25">
      <c r="A13" s="8" t="s">
        <v>34</v>
      </c>
      <c r="B13" s="9" t="s">
        <v>35</v>
      </c>
      <c r="C13" s="9" t="s">
        <v>29</v>
      </c>
      <c r="D13" s="9" t="s">
        <v>11</v>
      </c>
      <c r="E13" s="9">
        <v>89</v>
      </c>
      <c r="F13" s="9">
        <v>80</v>
      </c>
      <c r="G13" s="9">
        <v>82</v>
      </c>
      <c r="H13" s="9">
        <v>81</v>
      </c>
      <c r="I13" s="9" t="str">
        <f>IF(H13&gt;=50, "Pass","Fail")</f>
        <v>Pass</v>
      </c>
      <c r="J13" s="9" t="str">
        <f>IF(H13&gt;=75,"Excellent",IF(H13&gt;=50,"Pass","At Risk"))</f>
        <v>Excellent</v>
      </c>
      <c r="K13" s="10" t="str">
        <f>VLOOKUP(C13,Modules!A:B, 2,FALSE)</f>
        <v>Mr Adams</v>
      </c>
    </row>
    <row r="14" spans="1:11" x14ac:dyDescent="0.25">
      <c r="A14" s="5" t="s">
        <v>36</v>
      </c>
      <c r="B14" s="6" t="s">
        <v>37</v>
      </c>
      <c r="C14" s="6" t="s">
        <v>29</v>
      </c>
      <c r="D14" s="6" t="s">
        <v>14</v>
      </c>
      <c r="E14" s="6">
        <v>58</v>
      </c>
      <c r="F14" s="6">
        <v>47</v>
      </c>
      <c r="G14" s="6">
        <v>50</v>
      </c>
      <c r="H14" s="6">
        <v>49</v>
      </c>
      <c r="I14" s="6" t="str">
        <f>IF(H14&gt;=50, "Pass","Fail")</f>
        <v>Fail</v>
      </c>
      <c r="J14" s="6" t="str">
        <f>IF(H14&gt;=75,"Excellent",IF(H14&gt;=50,"Pass","At Risk"))</f>
        <v>At Risk</v>
      </c>
      <c r="K14" s="7" t="str">
        <f>VLOOKUP(C14,Modules!A:B, 2,FALSE)</f>
        <v>Mr Adams</v>
      </c>
    </row>
    <row r="15" spans="1:11" x14ac:dyDescent="0.25">
      <c r="A15" s="8" t="s">
        <v>38</v>
      </c>
      <c r="B15" s="9" t="s">
        <v>39</v>
      </c>
      <c r="C15" s="9" t="s">
        <v>29</v>
      </c>
      <c r="D15" s="9" t="s">
        <v>11</v>
      </c>
      <c r="E15" s="9">
        <v>94</v>
      </c>
      <c r="F15" s="9">
        <v>89</v>
      </c>
      <c r="G15" s="9">
        <v>91</v>
      </c>
      <c r="H15" s="9">
        <v>90</v>
      </c>
      <c r="I15" s="9" t="str">
        <f>IF(H15&gt;=50, "Pass","Fail")</f>
        <v>Pass</v>
      </c>
      <c r="J15" s="9" t="str">
        <f>IF(H15&gt;=75,"Excellent",IF(H15&gt;=50,"Pass","At Risk"))</f>
        <v>Excellent</v>
      </c>
      <c r="K15" s="10" t="str">
        <f>VLOOKUP(C15,Modules!A:B, 2,FALSE)</f>
        <v>Mr Adams</v>
      </c>
    </row>
    <row r="16" spans="1:11" x14ac:dyDescent="0.25">
      <c r="A16" s="5" t="s">
        <v>40</v>
      </c>
      <c r="B16" s="6" t="s">
        <v>41</v>
      </c>
      <c r="C16" s="6" t="s">
        <v>29</v>
      </c>
      <c r="D16" s="6" t="s">
        <v>14</v>
      </c>
      <c r="E16" s="6">
        <v>67</v>
      </c>
      <c r="F16" s="6">
        <v>55</v>
      </c>
      <c r="G16" s="6">
        <v>60</v>
      </c>
      <c r="H16" s="6">
        <v>58</v>
      </c>
      <c r="I16" s="6" t="str">
        <f>IF(H16&gt;=50, "Pass","Fail")</f>
        <v>Pass</v>
      </c>
      <c r="J16" s="6" t="str">
        <f>IF(H16&gt;=75,"Excellent",IF(H16&gt;=50,"Pass","At Risk"))</f>
        <v>Pass</v>
      </c>
      <c r="K16" s="7" t="str">
        <f>VLOOKUP(C16,Modules!A:B, 2,FALSE)</f>
        <v>Mr Adams</v>
      </c>
    </row>
    <row r="17" spans="1:11" x14ac:dyDescent="0.25">
      <c r="A17" s="8" t="s">
        <v>15</v>
      </c>
      <c r="B17" s="9" t="s">
        <v>16</v>
      </c>
      <c r="C17" s="9" t="s">
        <v>10</v>
      </c>
      <c r="D17" s="9" t="s">
        <v>11</v>
      </c>
      <c r="E17" s="9">
        <v>95</v>
      </c>
      <c r="F17" s="9">
        <v>88</v>
      </c>
      <c r="G17" s="9">
        <v>90</v>
      </c>
      <c r="H17" s="9">
        <v>89</v>
      </c>
      <c r="I17" s="9" t="str">
        <f>IF(H17&gt;=50, "Pass","Fail")</f>
        <v>Pass</v>
      </c>
      <c r="J17" s="9" t="str">
        <f>IF(H17&gt;=75,"Excellent",IF(H17&gt;=50,"Pass","At Risk"))</f>
        <v>Excellent</v>
      </c>
      <c r="K17" s="10" t="str">
        <f>VLOOKUP(C17,Modules!A:B, 2,FALSE)</f>
        <v>Mrs Smith</v>
      </c>
    </row>
    <row r="18" spans="1:11" x14ac:dyDescent="0.25">
      <c r="A18" s="5" t="s">
        <v>44</v>
      </c>
      <c r="B18" s="6" t="s">
        <v>45</v>
      </c>
      <c r="C18" s="6" t="s">
        <v>46</v>
      </c>
      <c r="D18" s="6" t="s">
        <v>14</v>
      </c>
      <c r="E18" s="6">
        <v>87</v>
      </c>
      <c r="F18" s="6">
        <v>76</v>
      </c>
      <c r="G18" s="6">
        <v>80</v>
      </c>
      <c r="H18" s="6">
        <v>78</v>
      </c>
      <c r="I18" s="6" t="str">
        <f>IF(H18&gt;=50, "Pass","Fail")</f>
        <v>Pass</v>
      </c>
      <c r="J18" s="6" t="str">
        <f>IF(H18&gt;=75,"Excellent",IF(H18&gt;=50,"Pass","At Risk"))</f>
        <v>Excellent</v>
      </c>
      <c r="K18" s="7" t="str">
        <f>VLOOKUP(C18,Modules!A:B, 2,FALSE)</f>
        <v>Mr Naidoo</v>
      </c>
    </row>
    <row r="19" spans="1:11" x14ac:dyDescent="0.25">
      <c r="A19" s="8" t="s">
        <v>59</v>
      </c>
      <c r="B19" s="9" t="s">
        <v>60</v>
      </c>
      <c r="C19" s="9" t="s">
        <v>46</v>
      </c>
      <c r="D19" s="9" t="s">
        <v>14</v>
      </c>
      <c r="E19" s="9">
        <v>93</v>
      </c>
      <c r="F19" s="9">
        <v>87</v>
      </c>
      <c r="G19" s="9">
        <v>89</v>
      </c>
      <c r="H19" s="9">
        <v>88</v>
      </c>
      <c r="I19" s="9" t="str">
        <f>IF(H19&gt;=50, "Pass","Fail")</f>
        <v>Pass</v>
      </c>
      <c r="J19" s="9" t="str">
        <f>IF(H19&gt;=75,"Excellent",IF(H19&gt;=50,"Pass","At Risk"))</f>
        <v>Excellent</v>
      </c>
      <c r="K19" s="10" t="str">
        <f>VLOOKUP(C19,Modules!A:B, 2,FALSE)</f>
        <v>Mr Naidoo</v>
      </c>
    </row>
    <row r="20" spans="1:11" x14ac:dyDescent="0.25">
      <c r="A20" s="5" t="s">
        <v>49</v>
      </c>
      <c r="B20" s="6" t="s">
        <v>50</v>
      </c>
      <c r="C20" s="6" t="s">
        <v>46</v>
      </c>
      <c r="D20" s="6" t="s">
        <v>14</v>
      </c>
      <c r="E20" s="6">
        <v>73</v>
      </c>
      <c r="F20" s="6">
        <v>61</v>
      </c>
      <c r="G20" s="6">
        <v>65</v>
      </c>
      <c r="H20" s="6">
        <v>63</v>
      </c>
      <c r="I20" s="6" t="str">
        <f>IF(H20&gt;=50, "Pass","Fail")</f>
        <v>Pass</v>
      </c>
      <c r="J20" s="6" t="str">
        <f>IF(H20&gt;=75,"Excellent",IF(H20&gt;=50,"Pass","At Risk"))</f>
        <v>Pass</v>
      </c>
      <c r="K20" s="7" t="str">
        <f>VLOOKUP(C20,Modules!A:B, 2,FALSE)</f>
        <v>Mr Naidoo</v>
      </c>
    </row>
    <row r="21" spans="1:11" x14ac:dyDescent="0.25">
      <c r="A21" s="8" t="s">
        <v>30</v>
      </c>
      <c r="B21" s="9" t="s">
        <v>31</v>
      </c>
      <c r="C21" s="9" t="s">
        <v>29</v>
      </c>
      <c r="D21" s="9" t="s">
        <v>11</v>
      </c>
      <c r="E21" s="9">
        <v>91</v>
      </c>
      <c r="F21" s="9">
        <v>84</v>
      </c>
      <c r="G21" s="9">
        <v>86</v>
      </c>
      <c r="H21" s="9">
        <v>85</v>
      </c>
      <c r="I21" s="9" t="str">
        <f>IF(H21&gt;=50, "Pass","Fail")</f>
        <v>Pass</v>
      </c>
      <c r="J21" s="9" t="str">
        <f>IF(H21&gt;=75,"Excellent",IF(H21&gt;=50,"Pass","At Risk"))</f>
        <v>Excellent</v>
      </c>
      <c r="K21" s="10" t="str">
        <f>VLOOKUP(C21,Modules!A:B, 2,FALSE)</f>
        <v>Mr Adams</v>
      </c>
    </row>
    <row r="22" spans="1:11" x14ac:dyDescent="0.25">
      <c r="A22" s="5" t="s">
        <v>53</v>
      </c>
      <c r="B22" s="6" t="s">
        <v>54</v>
      </c>
      <c r="C22" s="6" t="s">
        <v>46</v>
      </c>
      <c r="D22" s="6" t="s">
        <v>14</v>
      </c>
      <c r="E22" s="6">
        <v>65</v>
      </c>
      <c r="F22" s="6">
        <v>52</v>
      </c>
      <c r="G22" s="6">
        <v>57</v>
      </c>
      <c r="H22" s="6">
        <v>55</v>
      </c>
      <c r="I22" s="6" t="str">
        <f>IF(H22&gt;=50, "Pass","Fail")</f>
        <v>Pass</v>
      </c>
      <c r="J22" s="6" t="str">
        <f>IF(H22&gt;=75,"Excellent",IF(H22&gt;=50,"Pass","At Risk"))</f>
        <v>Pass</v>
      </c>
      <c r="K22" s="7" t="str">
        <f>VLOOKUP(C22,Modules!A:B, 2,FALSE)</f>
        <v>Mr Naidoo</v>
      </c>
    </row>
    <row r="23" spans="1:11" x14ac:dyDescent="0.25">
      <c r="A23" s="8" t="s">
        <v>55</v>
      </c>
      <c r="B23" s="9" t="s">
        <v>56</v>
      </c>
      <c r="C23" s="9" t="s">
        <v>46</v>
      </c>
      <c r="D23" s="9" t="s">
        <v>11</v>
      </c>
      <c r="E23" s="9">
        <v>88</v>
      </c>
      <c r="F23" s="9">
        <v>79</v>
      </c>
      <c r="G23" s="9">
        <v>81</v>
      </c>
      <c r="H23" s="9">
        <v>80</v>
      </c>
      <c r="I23" s="9" t="str">
        <f>IF(H23&gt;=50, "Pass","Fail")</f>
        <v>Pass</v>
      </c>
      <c r="J23" s="9" t="str">
        <f>IF(H23&gt;=75,"Excellent",IF(H23&gt;=50,"Pass","At Risk"))</f>
        <v>Excellent</v>
      </c>
      <c r="K23" s="10" t="str">
        <f>VLOOKUP(C23,Modules!A:B, 2,FALSE)</f>
        <v>Mr Naidoo</v>
      </c>
    </row>
    <row r="24" spans="1:11" x14ac:dyDescent="0.25">
      <c r="A24" s="5" t="s">
        <v>57</v>
      </c>
      <c r="B24" s="6" t="s">
        <v>58</v>
      </c>
      <c r="C24" s="6" t="s">
        <v>46</v>
      </c>
      <c r="D24" s="6" t="s">
        <v>14</v>
      </c>
      <c r="E24" s="6">
        <v>59</v>
      </c>
      <c r="F24" s="6">
        <v>44</v>
      </c>
      <c r="G24" s="6">
        <v>49</v>
      </c>
      <c r="H24" s="6">
        <v>47</v>
      </c>
      <c r="I24" s="6" t="str">
        <f>IF(H24&gt;=50, "Pass","Fail")</f>
        <v>Fail</v>
      </c>
      <c r="J24" s="6" t="str">
        <f>IF(H24&gt;=75,"Excellent",IF(H24&gt;=50,"Pass","At Risk"))</f>
        <v>At Risk</v>
      </c>
      <c r="K24" s="7" t="str">
        <f>VLOOKUP(C24,Modules!A:B, 2,FALSE)</f>
        <v>Mr Naidoo</v>
      </c>
    </row>
    <row r="25" spans="1:11" x14ac:dyDescent="0.25">
      <c r="A25" s="8" t="s">
        <v>47</v>
      </c>
      <c r="B25" s="9" t="s">
        <v>48</v>
      </c>
      <c r="C25" s="9" t="s">
        <v>46</v>
      </c>
      <c r="D25" s="9" t="s">
        <v>11</v>
      </c>
      <c r="E25" s="9">
        <v>90</v>
      </c>
      <c r="F25" s="9">
        <v>82</v>
      </c>
      <c r="G25" s="9">
        <v>84</v>
      </c>
      <c r="H25" s="9">
        <v>83</v>
      </c>
      <c r="I25" s="9" t="str">
        <f>IF(H25&gt;=50, "Pass","Fail")</f>
        <v>Pass</v>
      </c>
      <c r="J25" s="9" t="str">
        <f>IF(H25&gt;=75,"Excellent",IF(H25&gt;=50,"Pass","At Risk"))</f>
        <v>Excellent</v>
      </c>
      <c r="K25" s="10" t="str">
        <f>VLOOKUP(C25,Modules!A:B, 2,FALSE)</f>
        <v>Mr Naidoo</v>
      </c>
    </row>
    <row r="26" spans="1:11" x14ac:dyDescent="0.25">
      <c r="A26" s="5" t="s">
        <v>8</v>
      </c>
      <c r="B26" s="6" t="s">
        <v>9</v>
      </c>
      <c r="C26" s="6" t="s">
        <v>10</v>
      </c>
      <c r="D26" s="6" t="s">
        <v>11</v>
      </c>
      <c r="E26" s="6">
        <v>92</v>
      </c>
      <c r="F26" s="6">
        <v>78</v>
      </c>
      <c r="G26" s="6">
        <v>85</v>
      </c>
      <c r="H26" s="6">
        <v>81</v>
      </c>
      <c r="I26" s="6" t="str">
        <f>IF(H26&gt;=50, "Pass","Fail")</f>
        <v>Pass</v>
      </c>
      <c r="J26" s="6" t="str">
        <f>IF(H26&gt;=75,"Excellent",IF(H26&gt;=50,"Pass","At Risk"))</f>
        <v>Excellent</v>
      </c>
      <c r="K26" s="7" t="str">
        <f>VLOOKUP(C26,Modules!A:B, 2,FALSE)</f>
        <v>Mrs Smith</v>
      </c>
    </row>
    <row r="27" spans="1:11" x14ac:dyDescent="0.25">
      <c r="A27" s="8" t="s">
        <v>64</v>
      </c>
      <c r="B27" s="9" t="s">
        <v>65</v>
      </c>
      <c r="C27" s="9" t="s">
        <v>63</v>
      </c>
      <c r="D27" s="9" t="s">
        <v>11</v>
      </c>
      <c r="E27" s="9">
        <v>84</v>
      </c>
      <c r="F27" s="9">
        <v>71</v>
      </c>
      <c r="G27" s="9">
        <v>76</v>
      </c>
      <c r="H27" s="9">
        <v>74</v>
      </c>
      <c r="I27" s="9" t="str">
        <f>IF(H27&gt;=50, "Pass","Fail")</f>
        <v>Pass</v>
      </c>
      <c r="J27" s="9" t="str">
        <f>IF(H27&gt;=75,"Excellent",IF(H27&gt;=50,"Pass","At Risk"))</f>
        <v>Pass</v>
      </c>
      <c r="K27" s="10" t="str">
        <f>VLOOKUP(C27,Modules!A:B, 2,FALSE)</f>
        <v>Ms Dlamini</v>
      </c>
    </row>
    <row r="28" spans="1:11" x14ac:dyDescent="0.25">
      <c r="A28" s="5" t="s">
        <v>66</v>
      </c>
      <c r="B28" s="6" t="s">
        <v>67</v>
      </c>
      <c r="C28" s="6" t="s">
        <v>63</v>
      </c>
      <c r="D28" s="6" t="s">
        <v>14</v>
      </c>
      <c r="E28" s="6">
        <v>77</v>
      </c>
      <c r="F28" s="6">
        <v>65</v>
      </c>
      <c r="G28" s="6">
        <v>70</v>
      </c>
      <c r="H28" s="6">
        <v>68</v>
      </c>
      <c r="I28" s="6" t="str">
        <f>IF(H28&gt;=50, "Pass","Fail")</f>
        <v>Pass</v>
      </c>
      <c r="J28" s="6" t="str">
        <f>IF(H28&gt;=75,"Excellent",IF(H28&gt;=50,"Pass","At Risk"))</f>
        <v>Pass</v>
      </c>
      <c r="K28" s="7" t="str">
        <f>VLOOKUP(C28,Modules!A:B, 2,FALSE)</f>
        <v>Ms Dlamini</v>
      </c>
    </row>
    <row r="29" spans="1:11" x14ac:dyDescent="0.25">
      <c r="A29" s="8" t="s">
        <v>68</v>
      </c>
      <c r="B29" s="9" t="s">
        <v>69</v>
      </c>
      <c r="C29" s="9" t="s">
        <v>63</v>
      </c>
      <c r="D29" s="9" t="s">
        <v>14</v>
      </c>
      <c r="E29" s="9">
        <v>62</v>
      </c>
      <c r="F29" s="9">
        <v>48</v>
      </c>
      <c r="G29" s="9">
        <v>53</v>
      </c>
      <c r="H29" s="9">
        <v>51</v>
      </c>
      <c r="I29" s="9" t="str">
        <f>IF(H29&gt;=50, "Pass","Fail")</f>
        <v>Pass</v>
      </c>
      <c r="J29" s="9" t="str">
        <f>IF(H29&gt;=75,"Excellent",IF(H29&gt;=50,"Pass","At Risk"))</f>
        <v>Pass</v>
      </c>
      <c r="K29" s="10" t="str">
        <f>VLOOKUP(C29,Modules!A:B, 2,FALSE)</f>
        <v>Ms Dlamini</v>
      </c>
    </row>
    <row r="30" spans="1:11" x14ac:dyDescent="0.25">
      <c r="A30" s="5" t="s">
        <v>70</v>
      </c>
      <c r="B30" s="6" t="s">
        <v>71</v>
      </c>
      <c r="C30" s="6" t="s">
        <v>63</v>
      </c>
      <c r="D30" s="6" t="s">
        <v>14</v>
      </c>
      <c r="E30" s="6">
        <v>89</v>
      </c>
      <c r="F30" s="6">
        <v>81</v>
      </c>
      <c r="G30" s="6">
        <v>85</v>
      </c>
      <c r="H30" s="6">
        <v>83</v>
      </c>
      <c r="I30" s="6" t="str">
        <f>IF(H30&gt;=50, "Pass","Fail")</f>
        <v>Pass</v>
      </c>
      <c r="J30" s="6" t="str">
        <f>IF(H30&gt;=75,"Excellent",IF(H30&gt;=50,"Pass","At Risk"))</f>
        <v>Excellent</v>
      </c>
      <c r="K30" s="7" t="str">
        <f>VLOOKUP(C30,Modules!A:B, 2,FALSE)</f>
        <v>Ms Dlamini</v>
      </c>
    </row>
    <row r="31" spans="1:11" x14ac:dyDescent="0.25">
      <c r="A31" s="8" t="s">
        <v>72</v>
      </c>
      <c r="B31" s="9" t="s">
        <v>73</v>
      </c>
      <c r="C31" s="9" t="s">
        <v>63</v>
      </c>
      <c r="D31" s="9" t="s">
        <v>11</v>
      </c>
      <c r="E31" s="9">
        <v>95</v>
      </c>
      <c r="F31" s="9">
        <v>88</v>
      </c>
      <c r="G31" s="9">
        <v>9</v>
      </c>
      <c r="H31" s="9">
        <v>68</v>
      </c>
      <c r="I31" s="9" t="str">
        <f>IF(H31&gt;=50, "Pass","Fail")</f>
        <v>Pass</v>
      </c>
      <c r="J31" s="9" t="str">
        <f>IF(H31&gt;=75,"Excellent",IF(H31&gt;=50,"Pass","At Risk"))</f>
        <v>Pass</v>
      </c>
      <c r="K31" s="10" t="str">
        <f>VLOOKUP(C31,Modules!A:B, 2,FALSE)</f>
        <v>Ms Dlamini</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B17" sqref="B17"/>
    </sheetView>
  </sheetViews>
  <sheetFormatPr defaultRowHeight="15" x14ac:dyDescent="0.25"/>
  <cols>
    <col min="1" max="1" width="23.28515625" customWidth="1"/>
    <col min="2" max="2" width="24.5703125" customWidth="1"/>
  </cols>
  <sheetData>
    <row r="1" spans="1:2" ht="15.75" x14ac:dyDescent="0.25">
      <c r="A1" s="1" t="s">
        <v>2</v>
      </c>
      <c r="B1" s="1" t="s">
        <v>76</v>
      </c>
    </row>
    <row r="2" spans="1:2" x14ac:dyDescent="0.25">
      <c r="A2" t="s">
        <v>46</v>
      </c>
      <c r="B2" t="s">
        <v>77</v>
      </c>
    </row>
    <row r="3" spans="1:2" x14ac:dyDescent="0.25">
      <c r="A3" t="s">
        <v>10</v>
      </c>
      <c r="B3" t="s">
        <v>78</v>
      </c>
    </row>
    <row r="4" spans="1:2" x14ac:dyDescent="0.25">
      <c r="A4" t="s">
        <v>29</v>
      </c>
      <c r="B4" t="s">
        <v>79</v>
      </c>
    </row>
    <row r="5" spans="1:2" x14ac:dyDescent="0.25">
      <c r="A5" t="s">
        <v>63</v>
      </c>
      <c r="B5" t="s">
        <v>80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Module pivot sheet</vt:lpstr>
      <vt:lpstr>Presentation Page</vt:lpstr>
      <vt:lpstr>Status pivot sheet</vt:lpstr>
      <vt:lpstr>Student_marks</vt:lpstr>
      <vt:lpstr>Modules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Rebaona Radebe</dc:creator>
  <cp:lastModifiedBy>Reba</cp:lastModifiedBy>
  <dcterms:created xsi:type="dcterms:W3CDTF">2026-06-24T13:06:05Z</dcterms:created>
  <dcterms:modified xsi:type="dcterms:W3CDTF">2026-06-25T09:16:12Z</dcterms:modified>
</cp:coreProperties>
</file>